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e546dd9d3587f5/Desktop/"/>
    </mc:Choice>
  </mc:AlternateContent>
  <xr:revisionPtr revIDLastSave="0" documentId="8_{F1A908E8-DC20-41A0-B610-888B3244067F}" xr6:coauthVersionLast="47" xr6:coauthVersionMax="47" xr10:uidLastSave="{00000000-0000-0000-0000-000000000000}"/>
  <bookViews>
    <workbookView xWindow="3000" yWindow="3000" windowWidth="17280" windowHeight="8880" xr2:uid="{E9643B47-04F2-4638-9848-D91A628F6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  <c r="H4" i="1"/>
  <c r="H5" i="1"/>
  <c r="H6" i="1"/>
  <c r="H7" i="1"/>
  <c r="H8" i="1"/>
  <c r="M4" i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H3" i="1"/>
  <c r="G4" i="1"/>
  <c r="G5" i="1"/>
  <c r="G6" i="1"/>
  <c r="G7" i="1"/>
  <c r="G8" i="1"/>
  <c r="G3" i="1"/>
  <c r="F8" i="1"/>
  <c r="F4" i="1"/>
  <c r="F5" i="1"/>
  <c r="F6" i="1"/>
  <c r="F7" i="1"/>
  <c r="F3" i="1"/>
</calcChain>
</file>

<file path=xl/sharedStrings.xml><?xml version="1.0" encoding="utf-8"?>
<sst xmlns="http://schemas.openxmlformats.org/spreadsheetml/2006/main" count="25" uniqueCount="23">
  <si>
    <t>PRO ID</t>
  </si>
  <si>
    <t>PRODUCT</t>
  </si>
  <si>
    <t>SALE</t>
  </si>
  <si>
    <t>TARGET</t>
  </si>
  <si>
    <t>A</t>
  </si>
  <si>
    <t>NORTH</t>
  </si>
  <si>
    <t>B</t>
  </si>
  <si>
    <t>SOUTH</t>
  </si>
  <si>
    <t>EAST</t>
  </si>
  <si>
    <t>C</t>
  </si>
  <si>
    <t>D</t>
  </si>
  <si>
    <t>WEST</t>
  </si>
  <si>
    <t>E</t>
  </si>
  <si>
    <t>F</t>
  </si>
  <si>
    <t>Performance</t>
  </si>
  <si>
    <t>Bonus amt</t>
  </si>
  <si>
    <t>PRICE</t>
  </si>
  <si>
    <t>YEAR END</t>
  </si>
  <si>
    <t>PERFORMANCE</t>
  </si>
  <si>
    <t>MET PRO</t>
  </si>
  <si>
    <t>REGION</t>
  </si>
  <si>
    <t>ELIGIBLE</t>
  </si>
  <si>
    <t>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</si>
</sst>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1" xfId="0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F673-E0A8-4672-A0AA-4896B589FDF8}">
  <dimension ref="A2:N13"/>
  <sheetViews>
    <sheetView tabSelected="1" workbookViewId="0">
      <selection activeCell="I10" sqref="I10"/>
    </sheetView>
  </sheetViews>
  <sheetFormatPr defaultRowHeight="14.4" x14ac:dyDescent="0.3"/>
  <cols>
    <col min="6" max="6" width="11" customWidth="1"/>
    <col min="7" max="7" width="10.88671875" customWidth="1"/>
    <col min="8" max="8" width="11.109375" customWidth="1"/>
    <col min="9" max="9" width="13.109375" customWidth="1"/>
    <col min="10" max="10" width="17.109375" customWidth="1"/>
    <col min="12" max="12" width="10.21875" customWidth="1"/>
    <col min="13" max="13" width="16.6640625" customWidth="1"/>
  </cols>
  <sheetData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20</v>
      </c>
      <c r="F2" t="s">
        <v>19</v>
      </c>
      <c r="G2" t="s">
        <v>21</v>
      </c>
      <c r="H2" t="s">
        <v>22</v>
      </c>
      <c r="I2" t="s">
        <v>15</v>
      </c>
      <c r="J2" t="s">
        <v>14</v>
      </c>
      <c r="K2" t="s">
        <v>16</v>
      </c>
      <c r="L2" t="s">
        <v>17</v>
      </c>
      <c r="M2" t="s">
        <v>18</v>
      </c>
    </row>
    <row r="3" spans="1:14" x14ac:dyDescent="0.3">
      <c r="A3">
        <v>101</v>
      </c>
      <c r="B3" t="s">
        <v>4</v>
      </c>
      <c r="C3">
        <v>120</v>
      </c>
      <c r="D3">
        <v>150</v>
      </c>
      <c r="E3" t="s">
        <v>5</v>
      </c>
      <c r="F3" t="str">
        <f>IF(C3&gt;=D3,"MET TARGET","NO")</f>
        <v>NO</v>
      </c>
      <c r="G3" t="str">
        <f>IF(AND(E2="North",C2&gt;200),"Eligible","Not Eligible")</f>
        <v>Not Eligible</v>
      </c>
      <c r="H3" s="1">
        <f>IF(C2&gt;=200,10%,IF(C2&gt;=150,7%,5%))</f>
        <v>0.1</v>
      </c>
      <c r="I3">
        <f>IF(D3&lt;=C3,D3*10%,C3*5%)</f>
        <v>6</v>
      </c>
      <c r="J3" t="str">
        <f>IF(C2&gt;=200,"Excellent",IF(C2&gt;=150,"Good","Needs Improvement"))</f>
        <v>Excellent</v>
      </c>
      <c r="K3" t="str">
        <f>IF(C2&gt;200,"High",IF(C2&gt;=100,"Medium","Low"))</f>
        <v>High</v>
      </c>
      <c r="L3">
        <f>IF(AND(C2&gt;=150,E2="North"),500,300)</f>
        <v>300</v>
      </c>
      <c r="M3" t="str">
        <f>IF(C2&gt;=PERCENTILE($C$2:$C$7,0.75),"High Performer","Normal Performer")</f>
        <v>High Performer</v>
      </c>
    </row>
    <row r="4" spans="1:14" x14ac:dyDescent="0.3">
      <c r="A4">
        <v>102</v>
      </c>
      <c r="B4" t="s">
        <v>6</v>
      </c>
      <c r="C4">
        <v>150</v>
      </c>
      <c r="D4">
        <v>140</v>
      </c>
      <c r="E4" t="s">
        <v>7</v>
      </c>
      <c r="F4" t="str">
        <f t="shared" ref="F4:F7" si="0">IF(C4&gt;=D4,"MET TARGET","NO")</f>
        <v>MET TARGET</v>
      </c>
      <c r="G4" t="str">
        <f t="shared" ref="G4:G8" si="1">IF(AND(E3="North",C3&gt;200),"Eligible","Not Eligible")</f>
        <v>Not Eligible</v>
      </c>
      <c r="H4" s="1">
        <f t="shared" ref="H4:H8" si="2">IF(C3&gt;=200,10%,IF(C3&gt;=150,7%,5%))</f>
        <v>0.05</v>
      </c>
      <c r="I4">
        <f t="shared" ref="I4:I8" si="3">IF(D4&lt;=C4,D4*10%,C4*5%)</f>
        <v>14</v>
      </c>
      <c r="J4" t="str">
        <f t="shared" ref="J4:J8" si="4">IF(C3&gt;=200,"Excellent",IF(C3&gt;=150,"Good","Needs Improvement"))</f>
        <v>Needs Improvement</v>
      </c>
      <c r="K4" t="str">
        <f t="shared" ref="K4:K8" si="5">IF(C3&gt;200,"High",IF(C3&gt;=100,"Medium","Low"))</f>
        <v>Medium</v>
      </c>
      <c r="L4">
        <f t="shared" ref="L4:L8" si="6">IF(AND(C3&gt;=150,E3="North"),500,300)</f>
        <v>300</v>
      </c>
      <c r="M4" t="str">
        <f t="shared" ref="M4:M8" si="7">IF(C3&gt;=PERCENTILE($C$2:$C$7,0.75),"High Performer","Normal Performer")</f>
        <v>Normal Performer</v>
      </c>
      <c r="N4">
        <v>9</v>
      </c>
    </row>
    <row r="5" spans="1:14" x14ac:dyDescent="0.3">
      <c r="A5">
        <v>103</v>
      </c>
      <c r="B5" t="s">
        <v>9</v>
      </c>
      <c r="C5">
        <v>200</v>
      </c>
      <c r="D5">
        <v>200</v>
      </c>
      <c r="E5" t="s">
        <v>8</v>
      </c>
      <c r="F5" t="str">
        <f t="shared" si="0"/>
        <v>MET TARGET</v>
      </c>
      <c r="G5" t="str">
        <f t="shared" si="1"/>
        <v>Not Eligible</v>
      </c>
      <c r="H5" s="1">
        <f t="shared" si="2"/>
        <v>7.0000000000000007E-2</v>
      </c>
      <c r="I5">
        <f t="shared" si="3"/>
        <v>20</v>
      </c>
      <c r="J5" t="str">
        <f t="shared" si="4"/>
        <v>Good</v>
      </c>
      <c r="K5" t="str">
        <f t="shared" si="5"/>
        <v>Medium</v>
      </c>
      <c r="L5">
        <f t="shared" si="6"/>
        <v>300</v>
      </c>
      <c r="M5" t="str">
        <f t="shared" si="7"/>
        <v>Normal Performer</v>
      </c>
    </row>
    <row r="6" spans="1:14" x14ac:dyDescent="0.3">
      <c r="A6">
        <v>104</v>
      </c>
      <c r="B6" t="s">
        <v>10</v>
      </c>
      <c r="C6">
        <v>90</v>
      </c>
      <c r="D6">
        <v>100</v>
      </c>
      <c r="E6" t="s">
        <v>11</v>
      </c>
      <c r="F6" t="str">
        <f t="shared" si="0"/>
        <v>NO</v>
      </c>
      <c r="G6" t="str">
        <f t="shared" si="1"/>
        <v>Not Eligible</v>
      </c>
      <c r="H6" s="1">
        <f t="shared" si="2"/>
        <v>0.1</v>
      </c>
      <c r="I6">
        <f t="shared" si="3"/>
        <v>4.5</v>
      </c>
      <c r="J6" t="str">
        <f t="shared" si="4"/>
        <v>Excellent</v>
      </c>
      <c r="K6" t="str">
        <f t="shared" si="5"/>
        <v>Medium</v>
      </c>
      <c r="L6">
        <f t="shared" si="6"/>
        <v>300</v>
      </c>
      <c r="M6" t="str">
        <f t="shared" si="7"/>
        <v>High Performer</v>
      </c>
    </row>
    <row r="7" spans="1:14" x14ac:dyDescent="0.3">
      <c r="A7">
        <v>105</v>
      </c>
      <c r="B7" t="s">
        <v>12</v>
      </c>
      <c r="C7">
        <v>220</v>
      </c>
      <c r="D7">
        <v>210</v>
      </c>
      <c r="E7" t="s">
        <v>5</v>
      </c>
      <c r="F7" t="str">
        <f t="shared" si="0"/>
        <v>MET TARGET</v>
      </c>
      <c r="G7" t="str">
        <f t="shared" si="1"/>
        <v>Not Eligible</v>
      </c>
      <c r="H7" s="1">
        <f t="shared" si="2"/>
        <v>0.05</v>
      </c>
      <c r="I7">
        <f t="shared" si="3"/>
        <v>21</v>
      </c>
      <c r="J7" t="str">
        <f t="shared" si="4"/>
        <v>Needs Improvement</v>
      </c>
      <c r="K7" t="str">
        <f t="shared" si="5"/>
        <v>Low</v>
      </c>
      <c r="L7">
        <f t="shared" si="6"/>
        <v>300</v>
      </c>
      <c r="M7" t="str">
        <f t="shared" si="7"/>
        <v>Normal Performer</v>
      </c>
    </row>
    <row r="8" spans="1:14" x14ac:dyDescent="0.3">
      <c r="A8">
        <v>106</v>
      </c>
      <c r="B8" t="s">
        <v>13</v>
      </c>
      <c r="C8">
        <v>130</v>
      </c>
      <c r="D8">
        <v>160</v>
      </c>
      <c r="E8" t="s">
        <v>7</v>
      </c>
      <c r="F8" t="str">
        <f>IF(C8&gt;=D8,"MET TARGET","NO")</f>
        <v>NO</v>
      </c>
      <c r="G8" t="str">
        <f t="shared" si="1"/>
        <v>Eligible</v>
      </c>
      <c r="H8" s="1">
        <f t="shared" si="2"/>
        <v>0.1</v>
      </c>
      <c r="I8">
        <f t="shared" si="3"/>
        <v>6.5</v>
      </c>
      <c r="J8" t="str">
        <f t="shared" si="4"/>
        <v>Excellent</v>
      </c>
      <c r="K8" t="str">
        <f t="shared" si="5"/>
        <v>High</v>
      </c>
      <c r="L8">
        <f t="shared" si="6"/>
        <v>500</v>
      </c>
      <c r="M8" t="str">
        <f t="shared" si="7"/>
        <v>High Performer</v>
      </c>
    </row>
    <row r="13" spans="1:14" x14ac:dyDescent="0.3">
      <c r="G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LATHA SINGAM</dc:creator>
  <cp:lastModifiedBy>LATHA SINGAM</cp:lastModifiedBy>
  <dcterms:created xsi:type="dcterms:W3CDTF">2026-01-28T11:44:22Z</dcterms:created>
  <dcterms:modified xsi:type="dcterms:W3CDTF">2026-01-28T16:50:51Z</dcterms:modified>
</cp:coreProperties>
</file>